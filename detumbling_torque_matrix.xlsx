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Chart Matrix" state="visible" r:id="rId5"/>
  </sheets>
  <calcPr calcId="171027"/>
</workbook>
</file>

<file path=xl/sharedStrings.xml><?xml version="1.0" encoding="utf-8"?>
<sst xmlns="http://schemas.openxmlformats.org/spreadsheetml/2006/main" count="140" uniqueCount="17">
  <si>
    <t>Configuration</t>
  </si>
  <si>
    <t>Failure Mode</t>
  </si>
  <si>
    <t>Material</t>
  </si>
  <si>
    <t>Mass (kg)</t>
  </si>
  <si>
    <t>tau_avg_detumble (N·m)</t>
  </si>
  <si>
    <t>Long-edge</t>
  </si>
  <si>
    <t>one-stuck</t>
  </si>
  <si>
    <t>FR4</t>
  </si>
  <si>
    <t>Al/Kapton</t>
  </si>
  <si>
    <t>CFRP</t>
  </si>
  <si>
    <t>all-stuck</t>
  </si>
  <si>
    <t>Double-long-edge</t>
  </si>
  <si>
    <t>two-adjacent-stuck</t>
  </si>
  <si>
    <t>two-opposite-stuck</t>
  </si>
  <si>
    <t>Short-edge</t>
  </si>
  <si>
    <t>Coupled</t>
  </si>
  <si>
    <t>Envelope (N·m)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</si>
</sst>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4" customWidth="1"/>
    <col min="4" max="4" width="12" customWidth="1"/>
    <col min="5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0.032</v>
      </c>
      <c r="E2" s="3">
        <v>2.176e-7</v>
      </c>
    </row>
    <row r="3" spans="1:5" x14ac:dyDescent="0.25">
      <c r="A3" t="s">
        <v>5</v>
      </c>
      <c r="B3" t="s">
        <v>6</v>
      </c>
      <c r="C3" t="s">
        <v>8</v>
      </c>
      <c r="D3" s="2">
        <v>0.05</v>
      </c>
      <c r="E3" s="3">
        <v>3.417e-7</v>
      </c>
    </row>
    <row r="4" spans="1:5" x14ac:dyDescent="0.25">
      <c r="A4" t="s">
        <v>5</v>
      </c>
      <c r="B4" t="s">
        <v>6</v>
      </c>
      <c r="C4" t="s">
        <v>9</v>
      </c>
      <c r="D4" s="2">
        <v>0.02</v>
      </c>
      <c r="E4" s="3">
        <v>1.314e-7</v>
      </c>
    </row>
    <row r="5" spans="1:5" x14ac:dyDescent="0.25">
      <c r="A5" t="s">
        <v>5</v>
      </c>
      <c r="B5" t="s">
        <v>10</v>
      </c>
      <c r="C5" t="s">
        <v>7</v>
      </c>
      <c r="D5" s="2">
        <v>0.032</v>
      </c>
      <c r="E5" s="3">
        <v>0</v>
      </c>
    </row>
    <row r="6" spans="1:5" x14ac:dyDescent="0.25">
      <c r="A6" t="s">
        <v>5</v>
      </c>
      <c r="B6" t="s">
        <v>10</v>
      </c>
      <c r="C6" t="s">
        <v>8</v>
      </c>
      <c r="D6" s="2">
        <v>0.05</v>
      </c>
      <c r="E6" s="3">
        <v>0</v>
      </c>
    </row>
    <row r="7" spans="1:5" x14ac:dyDescent="0.25">
      <c r="A7" t="s">
        <v>5</v>
      </c>
      <c r="B7" t="s">
        <v>10</v>
      </c>
      <c r="C7" t="s">
        <v>9</v>
      </c>
      <c r="D7" s="2">
        <v>0.02</v>
      </c>
      <c r="E7" s="3">
        <v>0</v>
      </c>
    </row>
    <row r="8" spans="1:5" x14ac:dyDescent="0.25">
      <c r="A8" t="s">
        <v>11</v>
      </c>
      <c r="B8" t="s">
        <v>6</v>
      </c>
      <c r="C8" t="s">
        <v>7</v>
      </c>
      <c r="D8" s="2">
        <v>0.032</v>
      </c>
      <c r="E8" s="3">
        <v>6.964e-7</v>
      </c>
    </row>
    <row r="9" spans="1:5" x14ac:dyDescent="0.25">
      <c r="A9" t="s">
        <v>11</v>
      </c>
      <c r="B9" t="s">
        <v>6</v>
      </c>
      <c r="C9" t="s">
        <v>8</v>
      </c>
      <c r="D9" s="2">
        <v>0.05</v>
      </c>
      <c r="E9" s="3">
        <v>8.896e-7</v>
      </c>
    </row>
    <row r="10" spans="1:5" x14ac:dyDescent="0.25">
      <c r="A10" t="s">
        <v>11</v>
      </c>
      <c r="B10" t="s">
        <v>6</v>
      </c>
      <c r="C10" t="s">
        <v>9</v>
      </c>
      <c r="D10" s="2">
        <v>0.02</v>
      </c>
      <c r="E10" s="3">
        <v>5.116e-7</v>
      </c>
    </row>
    <row r="11" spans="1:5" x14ac:dyDescent="0.25">
      <c r="A11" t="s">
        <v>11</v>
      </c>
      <c r="B11" t="s">
        <v>12</v>
      </c>
      <c r="C11" t="s">
        <v>7</v>
      </c>
      <c r="D11" s="2">
        <v>0.032</v>
      </c>
      <c r="E11" s="3">
        <v>6.252e-7</v>
      </c>
    </row>
    <row r="12" spans="1:5" x14ac:dyDescent="0.25">
      <c r="A12" t="s">
        <v>11</v>
      </c>
      <c r="B12" t="s">
        <v>12</v>
      </c>
      <c r="C12" t="s">
        <v>8</v>
      </c>
      <c r="D12" s="2">
        <v>0.05</v>
      </c>
      <c r="E12" s="3">
        <v>0.000001005</v>
      </c>
    </row>
    <row r="13" spans="1:5" x14ac:dyDescent="0.25">
      <c r="A13" t="s">
        <v>11</v>
      </c>
      <c r="B13" t="s">
        <v>12</v>
      </c>
      <c r="C13" t="s">
        <v>9</v>
      </c>
      <c r="D13" s="2">
        <v>0.02</v>
      </c>
      <c r="E13" s="3">
        <v>3.922e-7</v>
      </c>
    </row>
    <row r="14" spans="1:5" x14ac:dyDescent="0.25">
      <c r="A14" t="s">
        <v>11</v>
      </c>
      <c r="B14" t="s">
        <v>13</v>
      </c>
      <c r="C14" t="s">
        <v>7</v>
      </c>
      <c r="D14" s="2">
        <v>0.032</v>
      </c>
      <c r="E14" s="3">
        <v>6.505e-9</v>
      </c>
    </row>
    <row r="15" spans="1:5" x14ac:dyDescent="0.25">
      <c r="A15" t="s">
        <v>11</v>
      </c>
      <c r="B15" t="s">
        <v>13</v>
      </c>
      <c r="C15" t="s">
        <v>8</v>
      </c>
      <c r="D15" s="2">
        <v>0.05</v>
      </c>
      <c r="E15" s="3">
        <v>9.205e-9</v>
      </c>
    </row>
    <row r="16" spans="1:5" x14ac:dyDescent="0.25">
      <c r="A16" t="s">
        <v>11</v>
      </c>
      <c r="B16" t="s">
        <v>13</v>
      </c>
      <c r="C16" t="s">
        <v>9</v>
      </c>
      <c r="D16" s="2">
        <v>0.02</v>
      </c>
      <c r="E16" s="3">
        <v>4.09e-9</v>
      </c>
    </row>
    <row r="17" spans="1:5" x14ac:dyDescent="0.25">
      <c r="A17" t="s">
        <v>11</v>
      </c>
      <c r="B17" t="s">
        <v>10</v>
      </c>
      <c r="C17" t="s">
        <v>7</v>
      </c>
      <c r="D17" s="2">
        <v>0.032</v>
      </c>
      <c r="E17" s="3">
        <v>0</v>
      </c>
    </row>
    <row r="18" spans="1:5" x14ac:dyDescent="0.25">
      <c r="A18" t="s">
        <v>11</v>
      </c>
      <c r="B18" t="s">
        <v>10</v>
      </c>
      <c r="C18" t="s">
        <v>8</v>
      </c>
      <c r="D18" s="2">
        <v>0.05</v>
      </c>
      <c r="E18" s="3">
        <v>0</v>
      </c>
    </row>
    <row r="19" spans="1:5" x14ac:dyDescent="0.25">
      <c r="A19" t="s">
        <v>11</v>
      </c>
      <c r="B19" t="s">
        <v>10</v>
      </c>
      <c r="C19" t="s">
        <v>9</v>
      </c>
      <c r="D19" s="2">
        <v>0.02</v>
      </c>
      <c r="E19" s="3">
        <v>0</v>
      </c>
    </row>
    <row r="20" spans="1:5" x14ac:dyDescent="0.25">
      <c r="A20" t="s">
        <v>14</v>
      </c>
      <c r="B20" t="s">
        <v>6</v>
      </c>
      <c r="C20" t="s">
        <v>7</v>
      </c>
      <c r="D20" s="2">
        <v>0.032</v>
      </c>
      <c r="E20" s="3">
        <v>5.011e-8</v>
      </c>
    </row>
    <row r="21" spans="1:5" x14ac:dyDescent="0.25">
      <c r="A21" t="s">
        <v>14</v>
      </c>
      <c r="B21" t="s">
        <v>6</v>
      </c>
      <c r="C21" t="s">
        <v>8</v>
      </c>
      <c r="D21" s="2">
        <v>0.05</v>
      </c>
      <c r="E21" s="3">
        <v>7.558e-8</v>
      </c>
    </row>
    <row r="22" spans="1:5" x14ac:dyDescent="0.25">
      <c r="A22" t="s">
        <v>14</v>
      </c>
      <c r="B22" t="s">
        <v>6</v>
      </c>
      <c r="C22" t="s">
        <v>9</v>
      </c>
      <c r="D22" s="2">
        <v>0.02</v>
      </c>
      <c r="E22" s="3">
        <v>3.216e-8</v>
      </c>
    </row>
    <row r="23" spans="1:5" x14ac:dyDescent="0.25">
      <c r="A23" t="s">
        <v>14</v>
      </c>
      <c r="B23" t="s">
        <v>12</v>
      </c>
      <c r="C23" t="s">
        <v>7</v>
      </c>
      <c r="D23" s="2">
        <v>0.032</v>
      </c>
      <c r="E23" s="3">
        <v>1.481e-9</v>
      </c>
    </row>
    <row r="24" spans="1:5" x14ac:dyDescent="0.25">
      <c r="A24" t="s">
        <v>14</v>
      </c>
      <c r="B24" t="s">
        <v>12</v>
      </c>
      <c r="C24" t="s">
        <v>8</v>
      </c>
      <c r="D24" s="2">
        <v>0.05</v>
      </c>
      <c r="E24" s="3">
        <v>1.936e-9</v>
      </c>
    </row>
    <row r="25" spans="1:5" x14ac:dyDescent="0.25">
      <c r="A25" t="s">
        <v>14</v>
      </c>
      <c r="B25" t="s">
        <v>12</v>
      </c>
      <c r="C25" t="s">
        <v>9</v>
      </c>
      <c r="D25" s="2">
        <v>0.02</v>
      </c>
      <c r="E25" s="3">
        <v>9.152e-10</v>
      </c>
    </row>
    <row r="26" spans="1:5" x14ac:dyDescent="0.25">
      <c r="A26" t="s">
        <v>14</v>
      </c>
      <c r="B26" t="s">
        <v>13</v>
      </c>
      <c r="C26" t="s">
        <v>7</v>
      </c>
      <c r="D26" s="2">
        <v>0.032</v>
      </c>
      <c r="E26" s="3">
        <v>2.922e-9</v>
      </c>
    </row>
    <row r="27" spans="1:5" x14ac:dyDescent="0.25">
      <c r="A27" t="s">
        <v>14</v>
      </c>
      <c r="B27" t="s">
        <v>13</v>
      </c>
      <c r="C27" t="s">
        <v>8</v>
      </c>
      <c r="D27" s="2">
        <v>0.05</v>
      </c>
      <c r="E27" s="3">
        <v>3.886e-9</v>
      </c>
    </row>
    <row r="28" spans="1:5" x14ac:dyDescent="0.25">
      <c r="A28" t="s">
        <v>14</v>
      </c>
      <c r="B28" t="s">
        <v>13</v>
      </c>
      <c r="C28" t="s">
        <v>9</v>
      </c>
      <c r="D28" s="2">
        <v>0.02</v>
      </c>
      <c r="E28" s="3">
        <v>1.778e-9</v>
      </c>
    </row>
    <row r="29" spans="1:5" x14ac:dyDescent="0.25">
      <c r="A29" t="s">
        <v>14</v>
      </c>
      <c r="B29" t="s">
        <v>10</v>
      </c>
      <c r="C29" t="s">
        <v>7</v>
      </c>
      <c r="D29" s="2">
        <v>0.032</v>
      </c>
      <c r="E29" s="3">
        <v>0</v>
      </c>
    </row>
    <row r="30" spans="1:5" x14ac:dyDescent="0.25">
      <c r="A30" t="s">
        <v>14</v>
      </c>
      <c r="B30" t="s">
        <v>10</v>
      </c>
      <c r="C30" t="s">
        <v>8</v>
      </c>
      <c r="D30" s="2">
        <v>0.05</v>
      </c>
      <c r="E30" s="3">
        <v>0</v>
      </c>
    </row>
    <row r="31" spans="1:5" x14ac:dyDescent="0.25">
      <c r="A31" t="s">
        <v>14</v>
      </c>
      <c r="B31" t="s">
        <v>10</v>
      </c>
      <c r="C31" t="s">
        <v>9</v>
      </c>
      <c r="D31" s="2">
        <v>0.02</v>
      </c>
      <c r="E31" s="3">
        <v>0</v>
      </c>
    </row>
    <row r="32" spans="1:5" x14ac:dyDescent="0.25">
      <c r="A32" t="s">
        <v>15</v>
      </c>
      <c r="B32" t="s">
        <v>6</v>
      </c>
      <c r="C32" t="s">
        <v>7</v>
      </c>
      <c r="D32" s="2">
        <v>0.032</v>
      </c>
      <c r="E32" s="3">
        <v>6.455e-7</v>
      </c>
    </row>
    <row r="33" spans="1:5" x14ac:dyDescent="0.25">
      <c r="A33" t="s">
        <v>15</v>
      </c>
      <c r="B33" t="s">
        <v>6</v>
      </c>
      <c r="C33" t="s">
        <v>8</v>
      </c>
      <c r="D33" s="2">
        <v>0.05</v>
      </c>
      <c r="E33" s="3">
        <v>7.96e-7</v>
      </c>
    </row>
    <row r="34" spans="1:5" x14ac:dyDescent="0.25">
      <c r="A34" t="s">
        <v>15</v>
      </c>
      <c r="B34" t="s">
        <v>6</v>
      </c>
      <c r="C34" t="s">
        <v>9</v>
      </c>
      <c r="D34" s="2">
        <v>0.02</v>
      </c>
      <c r="E34" s="3">
        <v>4.863e-7</v>
      </c>
    </row>
    <row r="35" spans="1:5" x14ac:dyDescent="0.25">
      <c r="A35" t="s">
        <v>15</v>
      </c>
      <c r="B35" t="s">
        <v>12</v>
      </c>
      <c r="C35" t="s">
        <v>7</v>
      </c>
      <c r="D35" s="2">
        <v>0.032</v>
      </c>
      <c r="E35" s="3">
        <v>5.838e-7</v>
      </c>
    </row>
    <row r="36" spans="1:5" x14ac:dyDescent="0.25">
      <c r="A36" t="s">
        <v>15</v>
      </c>
      <c r="B36" t="s">
        <v>12</v>
      </c>
      <c r="C36" t="s">
        <v>8</v>
      </c>
      <c r="D36" s="2">
        <v>0.05</v>
      </c>
      <c r="E36" s="3">
        <v>9.152e-7</v>
      </c>
    </row>
    <row r="37" spans="1:5" x14ac:dyDescent="0.25">
      <c r="A37" t="s">
        <v>15</v>
      </c>
      <c r="B37" t="s">
        <v>12</v>
      </c>
      <c r="C37" t="s">
        <v>9</v>
      </c>
      <c r="D37" s="2">
        <v>0.02</v>
      </c>
      <c r="E37" s="3">
        <v>3.726e-7</v>
      </c>
    </row>
    <row r="38" spans="1:5" x14ac:dyDescent="0.25">
      <c r="A38" t="s">
        <v>15</v>
      </c>
      <c r="B38" t="s">
        <v>13</v>
      </c>
      <c r="C38" t="s">
        <v>7</v>
      </c>
      <c r="D38" s="2">
        <v>0.032</v>
      </c>
      <c r="E38" s="3">
        <v>5.993e-9</v>
      </c>
    </row>
    <row r="39" spans="1:5" x14ac:dyDescent="0.25">
      <c r="A39" t="s">
        <v>15</v>
      </c>
      <c r="B39" t="s">
        <v>13</v>
      </c>
      <c r="C39" t="s">
        <v>8</v>
      </c>
      <c r="D39" s="2">
        <v>0.05</v>
      </c>
      <c r="E39" s="3">
        <v>8.154e-9</v>
      </c>
    </row>
    <row r="40" spans="1:5" x14ac:dyDescent="0.25">
      <c r="A40" t="s">
        <v>15</v>
      </c>
      <c r="B40" t="s">
        <v>13</v>
      </c>
      <c r="C40" t="s">
        <v>9</v>
      </c>
      <c r="D40" s="2">
        <v>0.02</v>
      </c>
      <c r="E40" s="3">
        <v>3.878e-9</v>
      </c>
    </row>
    <row r="41" spans="1:5" x14ac:dyDescent="0.25">
      <c r="A41" t="s">
        <v>15</v>
      </c>
      <c r="B41" t="s">
        <v>10</v>
      </c>
      <c r="C41" t="s">
        <v>7</v>
      </c>
      <c r="D41" s="2">
        <v>0.032</v>
      </c>
      <c r="E41" s="3">
        <v>0</v>
      </c>
    </row>
    <row r="42" spans="1:5" x14ac:dyDescent="0.25">
      <c r="A42" t="s">
        <v>15</v>
      </c>
      <c r="B42" t="s">
        <v>10</v>
      </c>
      <c r="C42" t="s">
        <v>8</v>
      </c>
      <c r="D42" s="2">
        <v>0.05</v>
      </c>
      <c r="E42" s="3">
        <v>0</v>
      </c>
    </row>
    <row r="43" spans="1:5" x14ac:dyDescent="0.25">
      <c r="A43" t="s">
        <v>15</v>
      </c>
      <c r="B43" t="s">
        <v>10</v>
      </c>
      <c r="C43" t="s">
        <v>9</v>
      </c>
      <c r="D43" s="2">
        <v>0.02</v>
      </c>
      <c r="E4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4" width="20" customWidth="1"/>
    <col min="5" max="5" width="16" customWidth="1"/>
  </cols>
  <sheetData>
    <row r="1" spans="1:5" s="1" customFormat="1" x14ac:dyDescent="0.25">
      <c r="A1" s="1" t="s">
        <v>0</v>
      </c>
      <c r="B1" s="1" t="s">
        <v>6</v>
      </c>
      <c r="C1" s="1" t="s">
        <v>12</v>
      </c>
      <c r="D1" s="1" t="s">
        <v>13</v>
      </c>
      <c r="E1" s="1" t="s">
        <v>16</v>
      </c>
    </row>
    <row r="2" spans="1:5" x14ac:dyDescent="0.25">
      <c r="A2" t="s">
        <v>5</v>
      </c>
      <c r="B2" s="3">
        <f>MAXIFS('Raw Data'!$E:$E,'Raw Data'!$A:$A,$A2,'Raw Data'!$B:$B,B$1)</f>
        <v>3.417e-7</v>
      </c>
      <c r="E2" s="3">
        <v>0.000001005</v>
      </c>
    </row>
    <row r="3" spans="1:5" x14ac:dyDescent="0.25">
      <c r="A3" t="s">
        <v>11</v>
      </c>
      <c r="B3" s="3">
        <f>MAXIFS('Raw Data'!$E:$E,'Raw Data'!$A:$A,$A3,'Raw Data'!$B:$B,B$1)</f>
        <v>8.896e-7</v>
      </c>
      <c r="C3" s="3">
        <f>MAXIFS('Raw Data'!$E:$E,'Raw Data'!$A:$A,$A3,'Raw Data'!$B:$B,C$1)</f>
        <v>0.000001005</v>
      </c>
      <c r="D3" s="3">
        <f>MAXIFS('Raw Data'!$E:$E,'Raw Data'!$A:$A,$A3,'Raw Data'!$B:$B,D$1)</f>
        <v>9.205e-9</v>
      </c>
      <c r="E3" s="3">
        <v>0.000001005</v>
      </c>
    </row>
    <row r="4" spans="1:5" x14ac:dyDescent="0.25">
      <c r="A4" t="s">
        <v>14</v>
      </c>
      <c r="B4" s="3">
        <f>MAXIFS('Raw Data'!$E:$E,'Raw Data'!$A:$A,$A4,'Raw Data'!$B:$B,B$1)</f>
        <v>7.558e-8</v>
      </c>
      <c r="C4" s="3">
        <f>MAXIFS('Raw Data'!$E:$E,'Raw Data'!$A:$A,$A4,'Raw Data'!$B:$B,C$1)</f>
        <v>1.936e-9</v>
      </c>
      <c r="D4" s="3">
        <f>MAXIFS('Raw Data'!$E:$E,'Raw Data'!$A:$A,$A4,'Raw Data'!$B:$B,D$1)</f>
        <v>3.886e-9</v>
      </c>
      <c r="E4" s="3">
        <v>0.000001005</v>
      </c>
    </row>
    <row r="5" spans="1:5" x14ac:dyDescent="0.25">
      <c r="A5" t="s">
        <v>15</v>
      </c>
      <c r="B5" s="3">
        <f>MAXIFS('Raw Data'!$E:$E,'Raw Data'!$A:$A,$A5,'Raw Data'!$B:$B,B$1)</f>
        <v>7.96e-7</v>
      </c>
      <c r="C5" s="3">
        <f>MAXIFS('Raw Data'!$E:$E,'Raw Data'!$A:$A,$A5,'Raw Data'!$B:$B,C$1)</f>
        <v>9.152e-7</v>
      </c>
      <c r="D5" s="3">
        <f>MAXIFS('Raw Data'!$E:$E,'Raw Data'!$A:$A,$A5,'Raw Data'!$B:$B,D$1)</f>
        <v>8.154e-9</v>
      </c>
      <c r="E5" s="3">
        <v>0.000001005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Chart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detumbling_torque_matrix generator</dc:creator>
  <dc:title/>
  <dc:subject/>
  <dc:description/>
  <cp:keywords/>
  <cp:category/>
  <cp:lastModifiedBy>Unknown</cp:lastModifiedBy>
  <dcterms:created xsi:type="dcterms:W3CDTF">2026-08-15T12:22:55Z</dcterms:created>
  <dcterms:modified xsi:type="dcterms:W3CDTF">2026-08-15T12:22:55Z</dcterms:modified>
</cp:coreProperties>
</file>